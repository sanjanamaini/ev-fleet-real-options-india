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Lattice" sheetId="3" state="visible" r:id="rId3"/>
    <sheet name="DecisionTree" sheetId="4" state="visible" r:id="rId4"/>
    <sheet name="Summary" sheetId="5" state="visible" r:id="rId5"/>
    <sheet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s&quot;#,##0"/>
    <numFmt numFmtId="165" formatCode="0.0"/>
    <numFmt numFmtId="166" formatCode="0.0%"/>
    <numFmt numFmtId="167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  <sz val="9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B4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165" fontId="0" fillId="2" borderId="1" pivotButton="0" quotePrefix="0" xfId="0"/>
    <xf numFmtId="1" fontId="0" fillId="2" borderId="1" pivotButton="0" quotePrefix="0" xfId="0"/>
    <xf numFmtId="3" fontId="0" fillId="2" borderId="1" pivotButton="0" quotePrefix="0" xfId="0"/>
    <xf numFmtId="9" fontId="0" fillId="2" borderId="1" pivotButton="0" quotePrefix="0" xfId="0"/>
    <xf numFmtId="166" fontId="0" fillId="2" borderId="1" pivotButton="0" quotePrefix="0" xfId="0"/>
    <xf numFmtId="167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0" fontId="5" fillId="3" borderId="1" pivotButton="0" quotePrefix="0" xfId="0"/>
    <xf numFmtId="164" fontId="0" fillId="0" borderId="1" pivotButton="0" quotePrefix="0" xfId="0"/>
    <xf numFmtId="164" fontId="2" fillId="4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EV Fleet Real Options Model, India</t>
        </is>
      </c>
    </row>
    <row r="2">
      <c r="A2" t="inlineStr"/>
    </row>
    <row r="3">
      <c r="A3" t="inlineStr">
        <is>
          <t>Question: should an Indian regional trucking operator switch to an electric</t>
        </is>
      </c>
    </row>
    <row r="4">
      <c r="A4" t="inlineStr">
        <is>
          <t>truck now, wait and decide later, or never switch, given diesel price risk?</t>
        </is>
      </c>
    </row>
    <row r="5">
      <c r="A5" t="inlineStr"/>
    </row>
    <row r="6">
      <c r="A6" s="2" t="inlineStr">
        <is>
          <t>Real, sourced inputs (see Inputs sheet notes for each):</t>
        </is>
      </c>
    </row>
    <row r="7">
      <c r="A7" t="inlineStr">
        <is>
          <t xml:space="preserve">  - Ashok Leyland AVTR 1920 HG (diesel) vs Tata Prima E.28K (EV) ex-showroom prices</t>
        </is>
      </c>
    </row>
    <row r="8">
      <c r="A8" t="inlineStr">
        <is>
          <t xml:space="preserve">  - Real fuel mileage / battery range specifications</t>
        </is>
      </c>
    </row>
    <row r="9">
      <c r="A9" t="inlineStr">
        <is>
          <t xml:space="preserve">  - Diesel price volatility and drift calibrated from real Indian retail diesel</t>
        </is>
      </c>
    </row>
    <row r="10">
      <c r="A10" t="inlineStr">
        <is>
          <t xml:space="preserve">    price history, 2015-2026 (post fuel-price-deregulation window)</t>
        </is>
      </c>
    </row>
    <row r="11">
      <c r="A11" t="inlineStr"/>
    </row>
    <row r="12">
      <c r="A12" s="2" t="inlineStr">
        <is>
          <t>The India-specific finding this calibration produces:</t>
        </is>
      </c>
    </row>
    <row r="13">
      <c r="A13" t="inlineStr">
        <is>
          <t xml:space="preserve">  Annual volatility is only 7.0% (vs ~43% for crude oil itself)</t>
        </is>
      </c>
    </row>
    <row r="14">
      <c r="A14" t="inlineStr">
        <is>
          <t xml:space="preserve">  but drift is a strong +5.1%/year -- diesel prices in India are</t>
        </is>
      </c>
    </row>
    <row r="15">
      <c r="A15" t="inlineStr">
        <is>
          <t xml:space="preserve">  administered and historically stable in percentage terms, but have risen</t>
        </is>
      </c>
    </row>
    <row r="16">
      <c r="A16" t="inlineStr">
        <is>
          <t xml:space="preserve">  steadily for two decades. So the up-probability in the lattice is far from</t>
        </is>
      </c>
    </row>
    <row r="17">
      <c r="A17" t="inlineStr">
        <is>
          <t xml:space="preserve">  50/50: p(up) = 85.8%, reflecting that reality, not an assumption.</t>
        </is>
      </c>
    </row>
    <row r="18">
      <c r="A18" t="inlineStr"/>
    </row>
    <row r="19">
      <c r="A19" s="2" t="inlineStr">
        <is>
          <t>Scope: this models a REGIONAL / return-to-base duty cycle, not long-haul.</t>
        </is>
      </c>
    </row>
    <row r="20">
      <c r="A20" t="inlineStr">
        <is>
          <t>The Tata Prima E.28K's real range (150-200 km/charge) is a hard constraint for</t>
        </is>
      </c>
    </row>
    <row r="21">
      <c r="A21" t="inlineStr">
        <is>
          <t>long-haul without en-route fast charging infrastructure that does not yet exist</t>
        </is>
      </c>
    </row>
    <row r="22">
      <c r="A22" t="inlineStr">
        <is>
          <t>at scale in India. Both trucks run the same annual distance here, no artificial</t>
        </is>
      </c>
    </row>
    <row r="23">
      <c r="A23" t="inlineStr">
        <is>
          <t>utilization derate -- that would only be honest for the regional use case.</t>
        </is>
      </c>
    </row>
    <row r="24">
      <c r="A24" t="inlineStr"/>
    </row>
    <row r="25">
      <c r="A25" t="inlineStr">
        <is>
          <t>Sheets: Inputs, Lattice, DecisionTree, Summary, Sensitivity.</t>
        </is>
      </c>
    </row>
    <row r="26">
      <c r="A26" t="inlineStr">
        <is>
          <t>Method: Cox-Ross-Rubinstein binomial lattice, physical (drift-matched, not</t>
        </is>
      </c>
    </row>
    <row r="27">
      <c r="A27" t="inlineStr">
        <is>
          <t>risk-neutral) probabilities -- appropriate for a decision tool, not a</t>
        </is>
      </c>
    </row>
    <row r="28">
      <c r="A28" t="inlineStr">
        <is>
          <t>traded-derivative pricing model.</t>
        </is>
      </c>
    </row>
    <row r="29">
      <c r="A29" t="inlineStr"/>
    </row>
    <row r="30">
      <c r="A30" s="3" t="inlineStr">
        <is>
          <t>Generated by excel/build_model.py. Safe to edit; regenerate to reset.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86" customWidth="1" min="3" max="3"/>
  </cols>
  <sheetData>
    <row r="1">
      <c r="A1" s="4" t="inlineStr">
        <is>
          <t>Assumptions (yellow = editable)</t>
        </is>
      </c>
    </row>
    <row r="3">
      <c r="A3" s="2" t="inlineStr">
        <is>
          <t>DIESEL TRUCK -- Ashok Leyland AVTR 1920 HG</t>
        </is>
      </c>
    </row>
    <row r="4">
      <c r="A4" s="5" t="inlineStr">
        <is>
          <t>Diesel truck price (capex)</t>
        </is>
      </c>
      <c r="B4" s="6" t="n">
        <v>2550000</v>
      </c>
      <c r="C4" s="3" t="inlineStr">
        <is>
          <t>Real, sourced: AVTR series ex-showroom, mid-range (cardekho/trucksfloor, 2026)</t>
        </is>
      </c>
    </row>
    <row r="5">
      <c r="A5" s="5" t="inlineStr">
        <is>
          <t>Fuel efficiency</t>
        </is>
      </c>
      <c r="B5" s="7" t="n">
        <v>5.5</v>
      </c>
      <c r="C5" s="3" t="inlineStr">
        <is>
          <t>Real, sourced: AVTR 1920 HG rated mileage, 5-6 km/L (trucksbuses.com)</t>
        </is>
      </c>
    </row>
    <row r="6">
      <c r="A6" s="5" t="inlineStr">
        <is>
          <t>Diesel maintenance and tires</t>
        </is>
      </c>
      <c r="B6" s="6" t="n">
        <v>4</v>
      </c>
      <c r="C6" s="3" t="inlineStr">
        <is>
          <t>Estimate: typical Indian heavy-truck upkeep, Rs per km</t>
        </is>
      </c>
    </row>
    <row r="7">
      <c r="A7" s="2" t="inlineStr">
        <is>
          <t>EV TRUCK -- Tata Prima E.28K</t>
        </is>
      </c>
    </row>
    <row r="8">
      <c r="A8" s="5" t="inlineStr">
        <is>
          <t>EV truck price (capex)</t>
        </is>
      </c>
      <c r="B8" s="6" t="n">
        <v>4000000</v>
      </c>
      <c r="C8" s="3" t="inlineStr">
        <is>
          <t>Real, sourced: ex-showroom range Rs 35-45 lakh, midpoint (multiple dealer sources, 2026)</t>
        </is>
      </c>
    </row>
    <row r="9">
      <c r="A9" s="5" t="inlineStr">
        <is>
          <t>Charging infra (allocated)</t>
        </is>
      </c>
      <c r="B9" s="6" t="n">
        <v>300000</v>
      </c>
      <c r="C9" s="3" t="inlineStr">
        <is>
          <t>Estimate: depot DC fast charger, allocated per truck</t>
        </is>
      </c>
    </row>
    <row r="10">
      <c r="A10" s="5" t="inlineStr">
        <is>
          <t>Battery capacity</t>
        </is>
      </c>
      <c r="B10" s="8" t="n">
        <v>453</v>
      </c>
      <c r="C10" s="3" t="inlineStr">
        <is>
          <t>Real, sourced: Tata Prima E.28K spec sheet, kWh</t>
        </is>
      </c>
    </row>
    <row r="11">
      <c r="A11" s="5" t="inlineStr">
        <is>
          <t>Real-world range per charge</t>
        </is>
      </c>
      <c r="B11" s="8" t="n">
        <v>175</v>
      </c>
      <c r="C11" s="3" t="inlineStr">
        <is>
          <t>Real, sourced: 150-200 km spec range, midpoint, km</t>
        </is>
      </c>
    </row>
    <row r="12">
      <c r="A12" s="5" t="inlineStr">
        <is>
          <t>Electricity price</t>
        </is>
      </c>
      <c r="B12" s="6" t="n">
        <v>7.5</v>
      </c>
      <c r="C12" s="3" t="inlineStr">
        <is>
          <t>Estimate: representative Indian industrial/commercial tariff, Rs per kWh (rates vary 0.9-14 by state/tier)</t>
        </is>
      </c>
    </row>
    <row r="13">
      <c r="A13" s="5" t="inlineStr">
        <is>
          <t>EV maintenance and tires</t>
        </is>
      </c>
      <c r="B13" s="6" t="n">
        <v>2</v>
      </c>
      <c r="C13" s="3" t="inlineStr">
        <is>
          <t>Estimate: EV heavy trucks, fewer moving parts than diesel, Rs per km</t>
        </is>
      </c>
    </row>
    <row r="14">
      <c r="A14" s="2" t="inlineStr">
        <is>
          <t>SHARED (same duty cycle both powertrains -- see README scope note)</t>
        </is>
      </c>
    </row>
    <row r="15">
      <c r="A15" s="5" t="inlineStr">
        <is>
          <t>Annual distance</t>
        </is>
      </c>
      <c r="B15" s="9" t="n">
        <v>90000</v>
      </c>
      <c r="C15" s="3" t="inlineStr">
        <is>
          <t>Estimate: regional/return-to-base duty cycle, km per truck per year</t>
        </is>
      </c>
    </row>
    <row r="16">
      <c r="A16" s="5" t="inlineStr">
        <is>
          <t>Freight rate</t>
        </is>
      </c>
      <c r="B16" s="6" t="n">
        <v>40</v>
      </c>
      <c r="C16" s="3" t="inlineStr">
        <is>
          <t>Estimate: representative regional full-truck-load rate, Rs per km</t>
        </is>
      </c>
    </row>
    <row r="17">
      <c r="A17" s="5" t="inlineStr">
        <is>
          <t>Annual fixed overhead</t>
        </is>
      </c>
      <c r="B17" s="6" t="n">
        <v>60000</v>
      </c>
      <c r="C17" s="3" t="inlineStr">
        <is>
          <t>Estimate: insurance, permits, admin, Rs per year</t>
        </is>
      </c>
    </row>
    <row r="18">
      <c r="A18" s="5" t="inlineStr">
        <is>
          <t>Discount rate</t>
        </is>
      </c>
      <c r="B18" s="10" t="n">
        <v>0.12</v>
      </c>
      <c r="C18" s="3" t="inlineStr">
        <is>
          <t>India corporate WACC, higher cost of capital than US</t>
        </is>
      </c>
    </row>
    <row r="19">
      <c r="A19" s="2" t="inlineStr">
        <is>
          <t>DIESEL PRICE -- CALIBRATED FROM REAL DATA</t>
        </is>
      </c>
    </row>
    <row r="20">
      <c r="A20" s="5" t="inlineStr">
        <is>
          <t>Diesel price today</t>
        </is>
      </c>
      <c r="B20" s="6" t="n">
        <v>98</v>
      </c>
      <c r="C20" s="3" t="inlineStr">
        <is>
          <t>Real: 2026 average retail price, Rs per litre (cleartax.in)</t>
        </is>
      </c>
    </row>
    <row r="21">
      <c r="A21" s="5" t="inlineStr">
        <is>
          <t>Annual volatility (sigma)</t>
        </is>
      </c>
      <c r="B21" s="11" t="n">
        <v>0.06991043623821933</v>
      </c>
      <c r="C21" s="3" t="inlineStr">
        <is>
          <t>CALIBRATED from real 2015-2026 India diesel price history, see data/calibrate_volatility.py</t>
        </is>
      </c>
    </row>
    <row r="22">
      <c r="A22" s="5" t="inlineStr">
        <is>
          <t>Annual drift (mu)</t>
        </is>
      </c>
      <c r="B22" s="11" t="n">
        <v>0.05126461020166398</v>
      </c>
      <c r="C22" s="3" t="inlineStr">
        <is>
          <t>CALIBRATED from the same real history -- India's steady multi-decade price rise</t>
        </is>
      </c>
    </row>
    <row r="23">
      <c r="A23" s="2" t="inlineStr">
        <is>
          <t>DERIVED</t>
        </is>
      </c>
    </row>
    <row r="24">
      <c r="A24" s="5" t="inlineStr">
        <is>
          <t>Up factor (u)</t>
        </is>
      </c>
      <c r="B24" s="12">
        <f>EXP(B21)</f>
        <v/>
      </c>
    </row>
    <row r="25">
      <c r="A25" s="5" t="inlineStr">
        <is>
          <t>Down factor (d)</t>
        </is>
      </c>
      <c r="B25" s="12">
        <f>1/B24</f>
        <v/>
      </c>
    </row>
    <row r="26">
      <c r="A26" s="5" t="inlineStr">
        <is>
          <t>Up-move probability (drift-matched, physical)</t>
        </is>
      </c>
      <c r="B26" s="13">
        <f>(EXP(B22)-B25)/(B24-B25)</f>
        <v/>
      </c>
      <c r="C26" s="3" t="inlineStr">
        <is>
          <t>Chosen so the lattice reproduces the real drift, not just volatility</t>
        </is>
      </c>
    </row>
    <row r="27">
      <c r="A27" s="5" t="inlineStr">
        <is>
          <t>EV energy efficiency (derived)</t>
        </is>
      </c>
      <c r="B27" s="14">
        <f>B10/B11</f>
        <v/>
      </c>
      <c r="C27" s="3" t="inlineStr">
        <is>
          <t>kWh per km = battery capacity / real-world 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Diesel price binomial lattice (Rs per litre). Node (t,i): i = number of down-moves.</t>
        </is>
      </c>
    </row>
    <row r="3">
      <c r="A3" s="15" t="inlineStr">
        <is>
          <t>Down-moves i \ Year t</t>
        </is>
      </c>
      <c r="B3" s="15" t="n">
        <v>0</v>
      </c>
      <c r="C3" s="15" t="n">
        <v>1</v>
      </c>
      <c r="D3" s="15" t="n">
        <v>2</v>
      </c>
      <c r="E3" s="15" t="n">
        <v>3</v>
      </c>
      <c r="F3" s="15" t="n">
        <v>4</v>
      </c>
      <c r="G3" s="15" t="n">
        <v>5</v>
      </c>
    </row>
    <row r="4">
      <c r="B4" s="16">
        <f>Inputs!$B$20</f>
        <v/>
      </c>
      <c r="C4" s="16">
        <f>B4*Inputs!$B$24</f>
        <v/>
      </c>
      <c r="D4" s="16">
        <f>C4*Inputs!$B$24</f>
        <v/>
      </c>
      <c r="E4" s="16">
        <f>D4*Inputs!$B$24</f>
        <v/>
      </c>
      <c r="F4" s="16">
        <f>E4*Inputs!$B$24</f>
        <v/>
      </c>
      <c r="G4" s="16">
        <f>F4*Inputs!$B$24</f>
        <v/>
      </c>
    </row>
    <row r="5">
      <c r="C5" s="16">
        <f>B4*Inputs!$B$25</f>
        <v/>
      </c>
      <c r="D5" s="16">
        <f>C4*Inputs!$B$25</f>
        <v/>
      </c>
      <c r="E5" s="16">
        <f>D4*Inputs!$B$25</f>
        <v/>
      </c>
      <c r="F5" s="16">
        <f>E4*Inputs!$B$25</f>
        <v/>
      </c>
      <c r="G5" s="16">
        <f>F4*Inputs!$B$25</f>
        <v/>
      </c>
    </row>
    <row r="6">
      <c r="D6" s="16">
        <f>C5*Inputs!$B$25</f>
        <v/>
      </c>
      <c r="E6" s="16">
        <f>D5*Inputs!$B$25</f>
        <v/>
      </c>
      <c r="F6" s="16">
        <f>E5*Inputs!$B$25</f>
        <v/>
      </c>
      <c r="G6" s="16">
        <f>F5*Inputs!$B$25</f>
        <v/>
      </c>
    </row>
    <row r="7">
      <c r="E7" s="16">
        <f>D6*Inputs!$B$25</f>
        <v/>
      </c>
      <c r="F7" s="16">
        <f>E6*Inputs!$B$25</f>
        <v/>
      </c>
      <c r="G7" s="16">
        <f>F6*Inputs!$B$25</f>
        <v/>
      </c>
    </row>
    <row r="8">
      <c r="F8" s="16">
        <f>E7*Inputs!$B$25</f>
        <v/>
      </c>
      <c r="G8" s="16">
        <f>F7*Inputs!$B$25</f>
        <v/>
      </c>
    </row>
    <row r="9">
      <c r="G9" s="16">
        <f>F8*Inputs!$B$25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Cash flows and backward-induction option value (Rs)</t>
        </is>
      </c>
    </row>
    <row r="2">
      <c r="A2" s="3" t="inlineStr">
        <is>
          <t>Every 'invest' value uses a FULL fresh truck life from that decision point, not the remaining life since year 0 -- a truck bought in year 3 gets its own 8 years, matching how a real purchase works.</t>
        </is>
      </c>
    </row>
    <row r="4">
      <c r="A4" s="15" t="inlineStr">
        <is>
          <t>Diesel annual cash flow if operating a diesel truck, CF_diesel(t,i)</t>
        </is>
      </c>
      <c r="B4" s="15" t="inlineStr">
        <is>
          <t>Year 0</t>
        </is>
      </c>
      <c r="C4" s="15" t="inlineStr">
        <is>
          <t>Year 1</t>
        </is>
      </c>
      <c r="D4" s="15" t="inlineStr">
        <is>
          <t>Year 2</t>
        </is>
      </c>
      <c r="E4" s="15" t="inlineStr">
        <is>
          <t>Year 3</t>
        </is>
      </c>
      <c r="F4" s="15" t="inlineStr">
        <is>
          <t>Year 4</t>
        </is>
      </c>
      <c r="G4" s="15" t="inlineStr">
        <is>
          <t>Year 5</t>
        </is>
      </c>
    </row>
    <row r="5">
      <c r="B5" s="16">
        <f>Inputs!$B$15*(Inputs!$B$16-Lattice!B4/Inputs!$B$5-Inputs!$B$6)-Inputs!$B$17</f>
        <v/>
      </c>
      <c r="C5" s="16">
        <f>Inputs!$B$15*(Inputs!$B$16-Lattice!C4/Inputs!$B$5-Inputs!$B$6)-Inputs!$B$17</f>
        <v/>
      </c>
      <c r="D5" s="16">
        <f>Inputs!$B$15*(Inputs!$B$16-Lattice!D4/Inputs!$B$5-Inputs!$B$6)-Inputs!$B$17</f>
        <v/>
      </c>
      <c r="E5" s="16">
        <f>Inputs!$B$15*(Inputs!$B$16-Lattice!E4/Inputs!$B$5-Inputs!$B$6)-Inputs!$B$17</f>
        <v/>
      </c>
      <c r="F5" s="16">
        <f>Inputs!$B$15*(Inputs!$B$16-Lattice!F4/Inputs!$B$5-Inputs!$B$6)-Inputs!$B$17</f>
        <v/>
      </c>
      <c r="G5" s="16">
        <f>Inputs!$B$15*(Inputs!$B$16-Lattice!G4/Inputs!$B$5-Inputs!$B$6)-Inputs!$B$17</f>
        <v/>
      </c>
    </row>
    <row r="6">
      <c r="C6" s="16">
        <f>Inputs!$B$15*(Inputs!$B$16-Lattice!C5/Inputs!$B$5-Inputs!$B$6)-Inputs!$B$17</f>
        <v/>
      </c>
      <c r="D6" s="16">
        <f>Inputs!$B$15*(Inputs!$B$16-Lattice!D5/Inputs!$B$5-Inputs!$B$6)-Inputs!$B$17</f>
        <v/>
      </c>
      <c r="E6" s="16">
        <f>Inputs!$B$15*(Inputs!$B$16-Lattice!E5/Inputs!$B$5-Inputs!$B$6)-Inputs!$B$17</f>
        <v/>
      </c>
      <c r="F6" s="16">
        <f>Inputs!$B$15*(Inputs!$B$16-Lattice!F5/Inputs!$B$5-Inputs!$B$6)-Inputs!$B$17</f>
        <v/>
      </c>
      <c r="G6" s="16">
        <f>Inputs!$B$15*(Inputs!$B$16-Lattice!G5/Inputs!$B$5-Inputs!$B$6)-Inputs!$B$17</f>
        <v/>
      </c>
    </row>
    <row r="7">
      <c r="D7" s="16">
        <f>Inputs!$B$15*(Inputs!$B$16-Lattice!D6/Inputs!$B$5-Inputs!$B$6)-Inputs!$B$17</f>
        <v/>
      </c>
      <c r="E7" s="16">
        <f>Inputs!$B$15*(Inputs!$B$16-Lattice!E6/Inputs!$B$5-Inputs!$B$6)-Inputs!$B$17</f>
        <v/>
      </c>
      <c r="F7" s="16">
        <f>Inputs!$B$15*(Inputs!$B$16-Lattice!F6/Inputs!$B$5-Inputs!$B$6)-Inputs!$B$17</f>
        <v/>
      </c>
      <c r="G7" s="16">
        <f>Inputs!$B$15*(Inputs!$B$16-Lattice!G6/Inputs!$B$5-Inputs!$B$6)-Inputs!$B$17</f>
        <v/>
      </c>
    </row>
    <row r="8">
      <c r="E8" s="16">
        <f>Inputs!$B$15*(Inputs!$B$16-Lattice!E7/Inputs!$B$5-Inputs!$B$6)-Inputs!$B$17</f>
        <v/>
      </c>
      <c r="F8" s="16">
        <f>Inputs!$B$15*(Inputs!$B$16-Lattice!F7/Inputs!$B$5-Inputs!$B$6)-Inputs!$B$17</f>
        <v/>
      </c>
      <c r="G8" s="16">
        <f>Inputs!$B$15*(Inputs!$B$16-Lattice!G7/Inputs!$B$5-Inputs!$B$6)-Inputs!$B$17</f>
        <v/>
      </c>
    </row>
    <row r="9">
      <c r="F9" s="16">
        <f>Inputs!$B$15*(Inputs!$B$16-Lattice!F8/Inputs!$B$5-Inputs!$B$6)-Inputs!$B$17</f>
        <v/>
      </c>
      <c r="G9" s="16">
        <f>Inputs!$B$15*(Inputs!$B$16-Lattice!G8/Inputs!$B$5-Inputs!$B$6)-Inputs!$B$17</f>
        <v/>
      </c>
    </row>
    <row r="10">
      <c r="G10" s="16">
        <f>Inputs!$B$15*(Inputs!$B$16-Lattice!G9/Inputs!$B$5-Inputs!$B$6)-Inputs!$B$17</f>
        <v/>
      </c>
    </row>
    <row r="12">
      <c r="A12" s="2" t="inlineStr">
        <is>
          <t>EV annual cash flow (constant, no diesel-price exposure)</t>
        </is>
      </c>
    </row>
    <row r="13">
      <c r="A13" s="5" t="inlineStr">
        <is>
          <t>EV_CF</t>
        </is>
      </c>
      <c r="B13" s="16">
        <f>Inputs!$B$15*(Inputs!$B$16-Inputs!$B$27*Inputs!$B$12-Inputs!$B$13)-Inputs!$B$17</f>
        <v/>
      </c>
    </row>
    <row r="15">
      <c r="A15" s="15" t="inlineStr">
        <is>
          <t>Value of buying an EV truck at year t, invest_EV(t)</t>
        </is>
      </c>
      <c r="B15" s="15" t="inlineStr">
        <is>
          <t>Year 0</t>
        </is>
      </c>
      <c r="C15" s="15" t="inlineStr">
        <is>
          <t>Year 1</t>
        </is>
      </c>
      <c r="D15" s="15" t="inlineStr">
        <is>
          <t>Year 2</t>
        </is>
      </c>
      <c r="E15" s="15" t="inlineStr">
        <is>
          <t>Year 3</t>
        </is>
      </c>
      <c r="F15" s="15" t="inlineStr">
        <is>
          <t>Year 4</t>
        </is>
      </c>
      <c r="G15" s="15" t="inlineStr">
        <is>
          <t>Year 5</t>
        </is>
      </c>
    </row>
    <row r="16">
      <c r="B16" s="16">
        <f>-Inputs!$B$8-Inputs!$B$9+$B$13*(1-(1+Inputs!$B$18)^-8)/Inputs!$B$18</f>
        <v/>
      </c>
      <c r="C16" s="16">
        <f>-Inputs!$B$8-Inputs!$B$9+$B$13*(1-(1+Inputs!$B$18)^-8)/Inputs!$B$18</f>
        <v/>
      </c>
      <c r="D16" s="16">
        <f>-Inputs!$B$8-Inputs!$B$9+$B$13*(1-(1+Inputs!$B$18)^-8)/Inputs!$B$18</f>
        <v/>
      </c>
      <c r="E16" s="16">
        <f>-Inputs!$B$8-Inputs!$B$9+$B$13*(1-(1+Inputs!$B$18)^-8)/Inputs!$B$18</f>
        <v/>
      </c>
      <c r="F16" s="16">
        <f>-Inputs!$B$8-Inputs!$B$9+$B$13*(1-(1+Inputs!$B$18)^-8)/Inputs!$B$18</f>
        <v/>
      </c>
      <c r="G16" s="16">
        <f>-Inputs!$B$8-Inputs!$B$9+$B$13*(1-(1+Inputs!$B$18)^-8)/Inputs!$B$18</f>
        <v/>
      </c>
    </row>
    <row r="18">
      <c r="A18" s="15" t="inlineStr">
        <is>
          <t>Value of buying a diesel truck at node (t,i), invest_diesel(t,i)</t>
        </is>
      </c>
      <c r="B18" s="15" t="inlineStr">
        <is>
          <t>Year 0</t>
        </is>
      </c>
      <c r="C18" s="15" t="inlineStr">
        <is>
          <t>Year 1</t>
        </is>
      </c>
      <c r="D18" s="15" t="inlineStr">
        <is>
          <t>Year 2</t>
        </is>
      </c>
      <c r="E18" s="15" t="inlineStr">
        <is>
          <t>Year 3</t>
        </is>
      </c>
      <c r="F18" s="15" t="inlineStr">
        <is>
          <t>Year 4</t>
        </is>
      </c>
      <c r="G18" s="15" t="inlineStr">
        <is>
          <t>Year 5</t>
        </is>
      </c>
    </row>
    <row r="19">
      <c r="B19" s="16">
        <f>-Inputs!$B$4+B5*(1-(1+Inputs!$B$18)^-8)/Inputs!$B$18</f>
        <v/>
      </c>
      <c r="C19" s="16">
        <f>-Inputs!$B$4+C5*(1-(1+Inputs!$B$18)^-8)/Inputs!$B$18</f>
        <v/>
      </c>
      <c r="D19" s="16">
        <f>-Inputs!$B$4+D5*(1-(1+Inputs!$B$18)^-8)/Inputs!$B$18</f>
        <v/>
      </c>
      <c r="E19" s="16">
        <f>-Inputs!$B$4+E5*(1-(1+Inputs!$B$18)^-8)/Inputs!$B$18</f>
        <v/>
      </c>
      <c r="F19" s="16">
        <f>-Inputs!$B$4+F5*(1-(1+Inputs!$B$18)^-8)/Inputs!$B$18</f>
        <v/>
      </c>
      <c r="G19" s="16">
        <f>-Inputs!$B$4+G5*(1-(1+Inputs!$B$18)^-8)/Inputs!$B$18</f>
        <v/>
      </c>
    </row>
    <row r="20">
      <c r="C20" s="16">
        <f>-Inputs!$B$4+C6*(1-(1+Inputs!$B$18)^-8)/Inputs!$B$18</f>
        <v/>
      </c>
      <c r="D20" s="16">
        <f>-Inputs!$B$4+D6*(1-(1+Inputs!$B$18)^-8)/Inputs!$B$18</f>
        <v/>
      </c>
      <c r="E20" s="16">
        <f>-Inputs!$B$4+E6*(1-(1+Inputs!$B$18)^-8)/Inputs!$B$18</f>
        <v/>
      </c>
      <c r="F20" s="16">
        <f>-Inputs!$B$4+F6*(1-(1+Inputs!$B$18)^-8)/Inputs!$B$18</f>
        <v/>
      </c>
      <c r="G20" s="16">
        <f>-Inputs!$B$4+G6*(1-(1+Inputs!$B$18)^-8)/Inputs!$B$18</f>
        <v/>
      </c>
    </row>
    <row r="21">
      <c r="D21" s="16">
        <f>-Inputs!$B$4+D7*(1-(1+Inputs!$B$18)^-8)/Inputs!$B$18</f>
        <v/>
      </c>
      <c r="E21" s="16">
        <f>-Inputs!$B$4+E7*(1-(1+Inputs!$B$18)^-8)/Inputs!$B$18</f>
        <v/>
      </c>
      <c r="F21" s="16">
        <f>-Inputs!$B$4+F7*(1-(1+Inputs!$B$18)^-8)/Inputs!$B$18</f>
        <v/>
      </c>
      <c r="G21" s="16">
        <f>-Inputs!$B$4+G7*(1-(1+Inputs!$B$18)^-8)/Inputs!$B$18</f>
        <v/>
      </c>
    </row>
    <row r="22">
      <c r="E22" s="16">
        <f>-Inputs!$B$4+E8*(1-(1+Inputs!$B$18)^-8)/Inputs!$B$18</f>
        <v/>
      </c>
      <c r="F22" s="16">
        <f>-Inputs!$B$4+F8*(1-(1+Inputs!$B$18)^-8)/Inputs!$B$18</f>
        <v/>
      </c>
      <c r="G22" s="16">
        <f>-Inputs!$B$4+G8*(1-(1+Inputs!$B$18)^-8)/Inputs!$B$18</f>
        <v/>
      </c>
    </row>
    <row r="23">
      <c r="F23" s="16">
        <f>-Inputs!$B$4+F9*(1-(1+Inputs!$B$18)^-8)/Inputs!$B$18</f>
        <v/>
      </c>
      <c r="G23" s="16">
        <f>-Inputs!$B$4+G9*(1-(1+Inputs!$B$18)^-8)/Inputs!$B$18</f>
        <v/>
      </c>
    </row>
    <row r="24">
      <c r="G24" s="16">
        <f>-Inputs!$B$4+G10*(1-(1+Inputs!$B$18)^-8)/Inputs!$B$18</f>
        <v/>
      </c>
    </row>
    <row r="26">
      <c r="A26" s="15" t="inlineStr">
        <is>
          <t>Decision value: best of {buy EV now, buy diesel now, wait}, decision_value(t,i)</t>
        </is>
      </c>
      <c r="B26" s="15" t="inlineStr">
        <is>
          <t>Year 0</t>
        </is>
      </c>
      <c r="C26" s="15" t="inlineStr">
        <is>
          <t>Year 1</t>
        </is>
      </c>
      <c r="D26" s="15" t="inlineStr">
        <is>
          <t>Year 2</t>
        </is>
      </c>
      <c r="E26" s="15" t="inlineStr">
        <is>
          <t>Year 3</t>
        </is>
      </c>
      <c r="F26" s="15" t="inlineStr">
        <is>
          <t>Year 4</t>
        </is>
      </c>
      <c r="G26" s="15" t="inlineStr">
        <is>
          <t>Year 5</t>
        </is>
      </c>
    </row>
    <row r="27">
      <c r="B27" s="16">
        <f>MAX($B$16,B19,((Inputs!$B$26*C27+(1-Inputs!$B$26)*C28)/(1+Inputs!$B$18)))</f>
        <v/>
      </c>
      <c r="C27" s="16">
        <f>MAX($C$16,C19,((Inputs!$B$26*D27+(1-Inputs!$B$26)*D28)/(1+Inputs!$B$18)))</f>
        <v/>
      </c>
      <c r="D27" s="16">
        <f>MAX($D$16,D19,((Inputs!$B$26*E27+(1-Inputs!$B$26)*E28)/(1+Inputs!$B$18)))</f>
        <v/>
      </c>
      <c r="E27" s="16">
        <f>MAX($E$16,E19,((Inputs!$B$26*F27+(1-Inputs!$B$26)*F28)/(1+Inputs!$B$18)))</f>
        <v/>
      </c>
      <c r="F27" s="16">
        <f>MAX($F$16,F19,((Inputs!$B$26*G27+(1-Inputs!$B$26)*G28)/(1+Inputs!$B$18)))</f>
        <v/>
      </c>
      <c r="G27" s="16">
        <f>MAX($G$16,G19)</f>
        <v/>
      </c>
    </row>
    <row r="28">
      <c r="C28" s="16">
        <f>MAX($C$16,C20,((Inputs!$B$26*D28+(1-Inputs!$B$26)*D29)/(1+Inputs!$B$18)))</f>
        <v/>
      </c>
      <c r="D28" s="16">
        <f>MAX($D$16,D20,((Inputs!$B$26*E28+(1-Inputs!$B$26)*E29)/(1+Inputs!$B$18)))</f>
        <v/>
      </c>
      <c r="E28" s="16">
        <f>MAX($E$16,E20,((Inputs!$B$26*F28+(1-Inputs!$B$26)*F29)/(1+Inputs!$B$18)))</f>
        <v/>
      </c>
      <c r="F28" s="16">
        <f>MAX($F$16,F20,((Inputs!$B$26*G28+(1-Inputs!$B$26)*G29)/(1+Inputs!$B$18)))</f>
        <v/>
      </c>
      <c r="G28" s="16">
        <f>MAX($G$16,G20)</f>
        <v/>
      </c>
    </row>
    <row r="29">
      <c r="D29" s="16">
        <f>MAX($D$16,D21,((Inputs!$B$26*E29+(1-Inputs!$B$26)*E30)/(1+Inputs!$B$18)))</f>
        <v/>
      </c>
      <c r="E29" s="16">
        <f>MAX($E$16,E21,((Inputs!$B$26*F29+(1-Inputs!$B$26)*F30)/(1+Inputs!$B$18)))</f>
        <v/>
      </c>
      <c r="F29" s="16">
        <f>MAX($F$16,F21,((Inputs!$B$26*G29+(1-Inputs!$B$26)*G30)/(1+Inputs!$B$18)))</f>
        <v/>
      </c>
      <c r="G29" s="16">
        <f>MAX($G$16,G21)</f>
        <v/>
      </c>
    </row>
    <row r="30">
      <c r="E30" s="16">
        <f>MAX($E$16,E22,((Inputs!$B$26*F30+(1-Inputs!$B$26)*F31)/(1+Inputs!$B$18)))</f>
        <v/>
      </c>
      <c r="F30" s="16">
        <f>MAX($F$16,F22,((Inputs!$B$26*G30+(1-Inputs!$B$26)*G31)/(1+Inputs!$B$18)))</f>
        <v/>
      </c>
      <c r="G30" s="16">
        <f>MAX($G$16,G22)</f>
        <v/>
      </c>
    </row>
    <row r="31">
      <c r="F31" s="16">
        <f>MAX($F$16,F23,((Inputs!$B$26*G31+(1-Inputs!$B$26)*G32)/(1+Inputs!$B$18)))</f>
        <v/>
      </c>
      <c r="G31" s="16">
        <f>MAX($G$16,G23)</f>
        <v/>
      </c>
    </row>
    <row r="32">
      <c r="G32" s="16">
        <f>MAX($G$16,G24)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4" t="inlineStr">
        <is>
          <t>Strategy comparison: NPV today (Rs)</t>
        </is>
      </c>
    </row>
    <row r="3">
      <c r="A3" s="15" t="inlineStr">
        <is>
          <t>Strategy</t>
        </is>
      </c>
      <c r="B3" s="15" t="inlineStr">
        <is>
          <t>NPV today (Rs)</t>
        </is>
      </c>
    </row>
    <row r="4">
      <c r="A4" s="5" t="inlineStr">
        <is>
          <t>Buy EV now</t>
        </is>
      </c>
      <c r="B4" s="16">
        <f>DecisionTree!B16</f>
        <v/>
      </c>
    </row>
    <row r="5">
      <c r="A5" s="5" t="inlineStr">
        <is>
          <t>Buy diesel now (naive default choice)</t>
        </is>
      </c>
      <c r="B5" s="16">
        <f>DecisionTree!B19</f>
        <v/>
      </c>
    </row>
    <row r="6">
      <c r="A6" s="5" t="inlineStr">
        <is>
          <t>Flexible (best of EV/diesel/wait, decided optimally)</t>
        </is>
      </c>
      <c r="B6" s="16">
        <f>DecisionTree!B27</f>
        <v/>
      </c>
    </row>
    <row r="7">
      <c r="A7" s="5" t="inlineStr">
        <is>
          <t>Value of flexibility (option value)</t>
        </is>
      </c>
      <c r="B7" s="17">
        <f>DecisionTree!B27-MAX(DecisionTree!B16,DecisionTree!B19)</f>
        <v/>
      </c>
    </row>
    <row r="9">
      <c r="A9" s="3" t="inlineStr">
        <is>
          <t>At India's real calibrated volatility (~7%/yr), this comes out at or near zero: diesel's current cost advantage is large enough, and volatility low enough, that waiting to decide is not worth the foregone diesel profit -- buy the current best option now, and revisit for the NEXT truck purchase. See Sensitivity for how this changes at higher volatility.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Simplified one-year option value vs volatility</t>
        </is>
      </c>
    </row>
    <row r="2">
      <c r="A2" s="3" t="inlineStr">
        <is>
          <t>A single-period version of the same logic (not the full 5-year tree): if sigma were higher than India's real calibrated 7%, would waiting one year become worthwhile? This isolates the volatility effect on its own -- drift (mu) and every cost input stay fixed at their real values throughout.</t>
        </is>
      </c>
    </row>
    <row r="4">
      <c r="A4" s="15" t="inlineStr">
        <is>
          <t>Sigma (annual)</t>
        </is>
      </c>
      <c r="B4" s="15" t="inlineStr">
        <is>
          <t>u</t>
        </is>
      </c>
      <c r="C4" s="15" t="inlineStr">
        <is>
          <t>d</t>
        </is>
      </c>
      <c r="D4" s="15" t="inlineStr">
        <is>
          <t>p(up)</t>
        </is>
      </c>
      <c r="E4" s="15" t="inlineStr">
        <is>
          <t>Diesel price up</t>
        </is>
      </c>
      <c r="F4" s="15" t="inlineStr">
        <is>
          <t>Diesel price down</t>
        </is>
      </c>
      <c r="G4" s="15" t="inlineStr">
        <is>
          <t>Commit now</t>
        </is>
      </c>
      <c r="H4" s="15" t="inlineStr">
        <is>
          <t>Wait 1yr, decide next</t>
        </is>
      </c>
      <c r="I4" s="15" t="inlineStr">
        <is>
          <t>Option value</t>
        </is>
      </c>
    </row>
    <row r="5">
      <c r="A5" s="10" t="n">
        <v>0.07000000000000001</v>
      </c>
      <c r="B5" s="12">
        <f>EXP(A5)</f>
        <v/>
      </c>
      <c r="C5" s="12">
        <f>1/B5</f>
        <v/>
      </c>
      <c r="D5" s="13">
        <f>(EXP(Inputs!$B$22)-C5)/(B5-C5)</f>
        <v/>
      </c>
      <c r="E5" s="16">
        <f>Inputs!$B$20*B5</f>
        <v/>
      </c>
      <c r="F5" s="16">
        <f>Inputs!$B$20*C5</f>
        <v/>
      </c>
      <c r="G5" s="16">
        <f>MAX(DecisionTree!$B$16,DecisionTree!$B$19)</f>
        <v/>
      </c>
      <c r="H5" s="16">
        <f>(D5*MAX(DecisionTree!$B$16,(-Inputs!$B$4+(Inputs!$B$15*(Inputs!$B$16-E5/Inputs!$B$5-Inputs!$B$6)-Inputs!$B$17)*(1-(1+Inputs!$B$18)^-8)/Inputs!$B$18))+(1-D5)*MAX(DecisionTree!$B$16,(-Inputs!$B$4+(Inputs!$B$15*(Inputs!$B$16-F5/Inputs!$B$5-Inputs!$B$6)-Inputs!$B$17)*(1-(1+Inputs!$B$18)^-8)/Inputs!$B$18)))/(1+Inputs!$B$18)</f>
        <v/>
      </c>
      <c r="I5" s="18">
        <f>MAX(G5,H5)-G5</f>
        <v/>
      </c>
    </row>
    <row r="6">
      <c r="A6" s="10" t="n">
        <v>0.1</v>
      </c>
      <c r="B6" s="12">
        <f>EXP(A6)</f>
        <v/>
      </c>
      <c r="C6" s="12">
        <f>1/B6</f>
        <v/>
      </c>
      <c r="D6" s="13">
        <f>(EXP(Inputs!$B$22)-C6)/(B6-C6)</f>
        <v/>
      </c>
      <c r="E6" s="16">
        <f>Inputs!$B$20*B6</f>
        <v/>
      </c>
      <c r="F6" s="16">
        <f>Inputs!$B$20*C6</f>
        <v/>
      </c>
      <c r="G6" s="16">
        <f>MAX(DecisionTree!$B$16,DecisionTree!$B$19)</f>
        <v/>
      </c>
      <c r="H6" s="16">
        <f>(D6*MAX(DecisionTree!$B$16,(-Inputs!$B$4+(Inputs!$B$15*(Inputs!$B$16-E6/Inputs!$B$5-Inputs!$B$6)-Inputs!$B$17)*(1-(1+Inputs!$B$18)^-8)/Inputs!$B$18))+(1-D6)*MAX(DecisionTree!$B$16,(-Inputs!$B$4+(Inputs!$B$15*(Inputs!$B$16-F6/Inputs!$B$5-Inputs!$B$6)-Inputs!$B$17)*(1-(1+Inputs!$B$18)^-8)/Inputs!$B$18)))/(1+Inputs!$B$18)</f>
        <v/>
      </c>
      <c r="I6" s="18">
        <f>MAX(G6,H6)-G6</f>
        <v/>
      </c>
    </row>
    <row r="7">
      <c r="A7" s="10" t="n">
        <v>0.15</v>
      </c>
      <c r="B7" s="12">
        <f>EXP(A7)</f>
        <v/>
      </c>
      <c r="C7" s="12">
        <f>1/B7</f>
        <v/>
      </c>
      <c r="D7" s="13">
        <f>(EXP(Inputs!$B$22)-C7)/(B7-C7)</f>
        <v/>
      </c>
      <c r="E7" s="16">
        <f>Inputs!$B$20*B7</f>
        <v/>
      </c>
      <c r="F7" s="16">
        <f>Inputs!$B$20*C7</f>
        <v/>
      </c>
      <c r="G7" s="16">
        <f>MAX(DecisionTree!$B$16,DecisionTree!$B$19)</f>
        <v/>
      </c>
      <c r="H7" s="16">
        <f>(D7*MAX(DecisionTree!$B$16,(-Inputs!$B$4+(Inputs!$B$15*(Inputs!$B$16-E7/Inputs!$B$5-Inputs!$B$6)-Inputs!$B$17)*(1-(1+Inputs!$B$18)^-8)/Inputs!$B$18))+(1-D7)*MAX(DecisionTree!$B$16,(-Inputs!$B$4+(Inputs!$B$15*(Inputs!$B$16-F7/Inputs!$B$5-Inputs!$B$6)-Inputs!$B$17)*(1-(1+Inputs!$B$18)^-8)/Inputs!$B$18)))/(1+Inputs!$B$18)</f>
        <v/>
      </c>
      <c r="I7" s="18">
        <f>MAX(G7,H7)-G7</f>
        <v/>
      </c>
    </row>
    <row r="8">
      <c r="A8" s="10" t="n">
        <v>0.2</v>
      </c>
      <c r="B8" s="12">
        <f>EXP(A8)</f>
        <v/>
      </c>
      <c r="C8" s="12">
        <f>1/B8</f>
        <v/>
      </c>
      <c r="D8" s="13">
        <f>(EXP(Inputs!$B$22)-C8)/(B8-C8)</f>
        <v/>
      </c>
      <c r="E8" s="16">
        <f>Inputs!$B$20*B8</f>
        <v/>
      </c>
      <c r="F8" s="16">
        <f>Inputs!$B$20*C8</f>
        <v/>
      </c>
      <c r="G8" s="16">
        <f>MAX(DecisionTree!$B$16,DecisionTree!$B$19)</f>
        <v/>
      </c>
      <c r="H8" s="16">
        <f>(D8*MAX(DecisionTree!$B$16,(-Inputs!$B$4+(Inputs!$B$15*(Inputs!$B$16-E8/Inputs!$B$5-Inputs!$B$6)-Inputs!$B$17)*(1-(1+Inputs!$B$18)^-8)/Inputs!$B$18))+(1-D8)*MAX(DecisionTree!$B$16,(-Inputs!$B$4+(Inputs!$B$15*(Inputs!$B$16-F8/Inputs!$B$5-Inputs!$B$6)-Inputs!$B$17)*(1-(1+Inputs!$B$18)^-8)/Inputs!$B$18)))/(1+Inputs!$B$18)</f>
        <v/>
      </c>
      <c r="I8" s="18">
        <f>MAX(G8,H8)-G8</f>
        <v/>
      </c>
    </row>
    <row r="9">
      <c r="A9" s="10" t="n">
        <v>0.25</v>
      </c>
      <c r="B9" s="12">
        <f>EXP(A9)</f>
        <v/>
      </c>
      <c r="C9" s="12">
        <f>1/B9</f>
        <v/>
      </c>
      <c r="D9" s="13">
        <f>(EXP(Inputs!$B$22)-C9)/(B9-C9)</f>
        <v/>
      </c>
      <c r="E9" s="16">
        <f>Inputs!$B$20*B9</f>
        <v/>
      </c>
      <c r="F9" s="16">
        <f>Inputs!$B$20*C9</f>
        <v/>
      </c>
      <c r="G9" s="16">
        <f>MAX(DecisionTree!$B$16,DecisionTree!$B$19)</f>
        <v/>
      </c>
      <c r="H9" s="16">
        <f>(D9*MAX(DecisionTree!$B$16,(-Inputs!$B$4+(Inputs!$B$15*(Inputs!$B$16-E9/Inputs!$B$5-Inputs!$B$6)-Inputs!$B$17)*(1-(1+Inputs!$B$18)^-8)/Inputs!$B$18))+(1-D9)*MAX(DecisionTree!$B$16,(-Inputs!$B$4+(Inputs!$B$15*(Inputs!$B$16-F9/Inputs!$B$5-Inputs!$B$6)-Inputs!$B$17)*(1-(1+Inputs!$B$18)^-8)/Inputs!$B$18)))/(1+Inputs!$B$18)</f>
        <v/>
      </c>
      <c r="I9" s="18">
        <f>MAX(G9,H9)-G9</f>
        <v/>
      </c>
    </row>
    <row r="10">
      <c r="A10" s="10" t="n">
        <v>0.3</v>
      </c>
      <c r="B10" s="12">
        <f>EXP(A10)</f>
        <v/>
      </c>
      <c r="C10" s="12">
        <f>1/B10</f>
        <v/>
      </c>
      <c r="D10" s="13">
        <f>(EXP(Inputs!$B$22)-C10)/(B10-C10)</f>
        <v/>
      </c>
      <c r="E10" s="16">
        <f>Inputs!$B$20*B10</f>
        <v/>
      </c>
      <c r="F10" s="16">
        <f>Inputs!$B$20*C10</f>
        <v/>
      </c>
      <c r="G10" s="16">
        <f>MAX(DecisionTree!$B$16,DecisionTree!$B$19)</f>
        <v/>
      </c>
      <c r="H10" s="16">
        <f>(D10*MAX(DecisionTree!$B$16,(-Inputs!$B$4+(Inputs!$B$15*(Inputs!$B$16-E10/Inputs!$B$5-Inputs!$B$6)-Inputs!$B$17)*(1-(1+Inputs!$B$18)^-8)/Inputs!$B$18))+(1-D10)*MAX(DecisionTree!$B$16,(-Inputs!$B$4+(Inputs!$B$15*(Inputs!$B$16-F10/Inputs!$B$5-Inputs!$B$6)-Inputs!$B$17)*(1-(1+Inputs!$B$18)^-8)/Inputs!$B$18)))/(1+Inputs!$B$18)</f>
        <v/>
      </c>
      <c r="I10" s="18">
        <f>MAX(G10,H10)-G10</f>
        <v/>
      </c>
    </row>
    <row r="11">
      <c r="A11" s="10" t="n">
        <v>0.35</v>
      </c>
      <c r="B11" s="12">
        <f>EXP(A11)</f>
        <v/>
      </c>
      <c r="C11" s="12">
        <f>1/B11</f>
        <v/>
      </c>
      <c r="D11" s="13">
        <f>(EXP(Inputs!$B$22)-C11)/(B11-C11)</f>
        <v/>
      </c>
      <c r="E11" s="16">
        <f>Inputs!$B$20*B11</f>
        <v/>
      </c>
      <c r="F11" s="16">
        <f>Inputs!$B$20*C11</f>
        <v/>
      </c>
      <c r="G11" s="16">
        <f>MAX(DecisionTree!$B$16,DecisionTree!$B$19)</f>
        <v/>
      </c>
      <c r="H11" s="16">
        <f>(D11*MAX(DecisionTree!$B$16,(-Inputs!$B$4+(Inputs!$B$15*(Inputs!$B$16-E11/Inputs!$B$5-Inputs!$B$6)-Inputs!$B$17)*(1-(1+Inputs!$B$18)^-8)/Inputs!$B$18))+(1-D11)*MAX(DecisionTree!$B$16,(-Inputs!$B$4+(Inputs!$B$15*(Inputs!$B$16-F11/Inputs!$B$5-Inputs!$B$6)-Inputs!$B$17)*(1-(1+Inputs!$B$18)^-8)/Inputs!$B$18)))/(1+Inputs!$B$18)</f>
        <v/>
      </c>
      <c r="I11" s="18">
        <f>MAX(G11,H11)-G11</f>
        <v/>
      </c>
    </row>
    <row r="12">
      <c r="A12" s="10" t="n">
        <v>0.4</v>
      </c>
      <c r="B12" s="12">
        <f>EXP(A12)</f>
        <v/>
      </c>
      <c r="C12" s="12">
        <f>1/B12</f>
        <v/>
      </c>
      <c r="D12" s="13">
        <f>(EXP(Inputs!$B$22)-C12)/(B12-C12)</f>
        <v/>
      </c>
      <c r="E12" s="16">
        <f>Inputs!$B$20*B12</f>
        <v/>
      </c>
      <c r="F12" s="16">
        <f>Inputs!$B$20*C12</f>
        <v/>
      </c>
      <c r="G12" s="16">
        <f>MAX(DecisionTree!$B$16,DecisionTree!$B$19)</f>
        <v/>
      </c>
      <c r="H12" s="16">
        <f>(D12*MAX(DecisionTree!$B$16,(-Inputs!$B$4+(Inputs!$B$15*(Inputs!$B$16-E12/Inputs!$B$5-Inputs!$B$6)-Inputs!$B$17)*(1-(1+Inputs!$B$18)^-8)/Inputs!$B$18))+(1-D12)*MAX(DecisionTree!$B$16,(-Inputs!$B$4+(Inputs!$B$15*(Inputs!$B$16-F12/Inputs!$B$5-Inputs!$B$6)-Inputs!$B$17)*(1-(1+Inputs!$B$18)^-8)/Inputs!$B$18)))/(1+Inputs!$B$18)</f>
        <v/>
      </c>
      <c r="I12" s="18">
        <f>MAX(G12,H12)-G12</f>
        <v/>
      </c>
    </row>
    <row r="13">
      <c r="A13" s="10" t="n">
        <v>0.43</v>
      </c>
      <c r="B13" s="12">
        <f>EXP(A13)</f>
        <v/>
      </c>
      <c r="C13" s="12">
        <f>1/B13</f>
        <v/>
      </c>
      <c r="D13" s="13">
        <f>(EXP(Inputs!$B$22)-C13)/(B13-C13)</f>
        <v/>
      </c>
      <c r="E13" s="16">
        <f>Inputs!$B$20*B13</f>
        <v/>
      </c>
      <c r="F13" s="16">
        <f>Inputs!$B$20*C13</f>
        <v/>
      </c>
      <c r="G13" s="16">
        <f>MAX(DecisionTree!$B$16,DecisionTree!$B$19)</f>
        <v/>
      </c>
      <c r="H13" s="16">
        <f>(D13*MAX(DecisionTree!$B$16,(-Inputs!$B$4+(Inputs!$B$15*(Inputs!$B$16-E13/Inputs!$B$5-Inputs!$B$6)-Inputs!$B$17)*(1-(1+Inputs!$B$18)^-8)/Inputs!$B$18))+(1-D13)*MAX(DecisionTree!$B$16,(-Inputs!$B$4+(Inputs!$B$15*(Inputs!$B$16-F13/Inputs!$B$5-Inputs!$B$6)-Inputs!$B$17)*(1-(1+Inputs!$B$18)^-8)/Inputs!$B$18)))/(1+Inputs!$B$18)</f>
        <v/>
      </c>
      <c r="I13" s="18">
        <f>MAX(G13,H13)-G13</f>
        <v/>
      </c>
    </row>
    <row r="15">
      <c r="A15" s="3" t="inlineStr">
        <is>
          <t>Option value is exactly Rs 0 through India's real sigma (7%) and stays flat until sigma crosses roughly 38-40% -- only past that point does waiting start to beat committing now. Crude oil itself runs at ~43% annual volatility, so a market with that much price risk (unlike India's administered diesel pricing) is exactly where flexibility would start to be worth paying for -- the classic real-options result made concrete with real numbers.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2026-07-05T15:20:16Z</dcterms:created>
  <dcterms:modified xsi:type="dcterms:W3CDTF">2026-07-05T15:20:16Z</dcterms:modified>
</cp:coreProperties>
</file>